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ăm 3\Kì 1\Kỹ thuật kiểm thử phần mềm\"/>
    </mc:Choice>
  </mc:AlternateContent>
  <xr:revisionPtr revIDLastSave="0" documentId="8_{602BE551-52C0-4BB2-A39B-A8CAF5FC736E}" xr6:coauthVersionLast="47" xr6:coauthVersionMax="47" xr10:uidLastSave="{00000000-0000-0000-0000-000000000000}"/>
  <bookViews>
    <workbookView xWindow="-108" yWindow="-108" windowWidth="23256" windowHeight="12456" xr2:uid="{2942B8AA-0D06-499F-A007-A76FE066C23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D20" i="1" s="1"/>
  <c r="E17" i="1"/>
  <c r="C17" i="1"/>
  <c r="H13" i="1"/>
  <c r="G13" i="1"/>
  <c r="D13" i="1"/>
  <c r="H12" i="1"/>
  <c r="H17" i="1" s="1"/>
  <c r="D23" i="1" s="1"/>
  <c r="G12" i="1"/>
  <c r="G17" i="1" s="1"/>
  <c r="D22" i="1" s="1"/>
  <c r="F12" i="1"/>
  <c r="F17" i="1" s="1"/>
  <c r="D21" i="1" s="1"/>
  <c r="D12" i="1"/>
  <c r="D17" i="1" s="1"/>
  <c r="D19" i="1" s="1"/>
</calcChain>
</file>

<file path=xl/sharedStrings.xml><?xml version="1.0" encoding="utf-8"?>
<sst xmlns="http://schemas.openxmlformats.org/spreadsheetml/2006/main" count="37" uniqueCount="33">
  <si>
    <t>FUNCTION TEST REPORT</t>
  </si>
  <si>
    <t>Project Name</t>
  </si>
  <si>
    <t>Crawl dữ liệu bình luận sản phẩm từ website Điện Máy Xanh</t>
  </si>
  <si>
    <t>Creator</t>
  </si>
  <si>
    <t>huyentld23406-dev</t>
  </si>
  <si>
    <t>Project Code</t>
  </si>
  <si>
    <t>CMT_CRAWLER_V1</t>
  </si>
  <si>
    <t>Reviewer/Approver</t>
  </si>
  <si>
    <t>qiqi2846-glitch</t>
  </si>
  <si>
    <t>Document Code</t>
  </si>
  <si>
    <t>CMT_CRAWLER_Test_Report_v1.0</t>
  </si>
  <si>
    <t>Issue Date</t>
  </si>
  <si>
    <t>Notes</t>
  </si>
  <si>
    <t>Phiên bản này bao gồm 1 module: CommentCrawler + UnitTestValidation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</si>
  <si>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</si>
  <si>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</si>
  <si>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</si>
  <si>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</si>
  <si>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</si>
  <si>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</si>
  <si>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</si>
  <si>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</si>
  <si>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UT_1_FileExists</t>
  </si>
  <si>
    <t>UT_2_ValidJSON</t>
  </si>
  <si>
    <t>UT_3_NonEmptyData</t>
  </si>
  <si>
    <t>UT_4_ValidCommentStructure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</si>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</sst>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5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b/>
      <sz val="20"/>
      <color indexed="8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sz val="11"/>
      <name val="Tahoma"/>
      <family val="2"/>
    </font>
    <font>
      <u/>
      <sz val="11"/>
      <color indexed="12"/>
      <name val="ＭＳ Ｐゴシック"/>
      <family val="3"/>
      <charset val="128"/>
    </font>
    <font>
      <u/>
      <sz val="11"/>
      <color indexed="12"/>
      <name val="Tahoma"/>
      <family val="2"/>
    </font>
    <font>
      <sz val="10"/>
      <color indexed="9"/>
      <name val="Tahoma"/>
      <family val="2"/>
    </font>
    <font>
      <b/>
      <sz val="11"/>
      <color indexed="9"/>
      <name val="Tahoma"/>
      <family val="2"/>
    </font>
    <font>
      <sz val="10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0" xfId="1" applyFont="1" applyFill="1"/>
    <xf numFmtId="0" fontId="3" fillId="2" borderId="0" xfId="2" applyFont="1" applyFill="1" applyAlignment="1">
      <alignment horizontal="center"/>
    </xf>
    <xf numFmtId="0" fontId="4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4" fillId="2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4" fillId="2" borderId="1" xfId="1" applyFont="1" applyFill="1" applyBorder="1" applyAlignment="1">
      <alignment vertical="center"/>
    </xf>
    <xf numFmtId="14" fontId="5" fillId="2" borderId="2" xfId="1" applyNumberFormat="1" applyFont="1" applyFill="1" applyBorder="1" applyAlignment="1">
      <alignment horizontal="left" vertical="top"/>
    </xf>
    <xf numFmtId="14" fontId="5" fillId="2" borderId="3" xfId="1" applyNumberFormat="1" applyFont="1" applyFill="1" applyBorder="1" applyAlignment="1">
      <alignment horizontal="left" vertical="top"/>
    </xf>
    <xf numFmtId="14" fontId="5" fillId="2" borderId="4" xfId="1" applyNumberFormat="1" applyFont="1" applyFill="1" applyBorder="1" applyAlignment="1">
      <alignment horizontal="left" vertical="top"/>
    </xf>
    <xf numFmtId="0" fontId="5" fillId="2" borderId="1" xfId="2" applyFont="1" applyFill="1" applyBorder="1" applyAlignment="1">
      <alignment vertical="top"/>
    </xf>
    <xf numFmtId="0" fontId="6" fillId="2" borderId="0" xfId="1" applyFont="1" applyFill="1"/>
    <xf numFmtId="0" fontId="7" fillId="2" borderId="0" xfId="2" applyFont="1" applyFill="1"/>
    <xf numFmtId="0" fontId="8" fillId="3" borderId="5" xfId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 wrapText="1"/>
    </xf>
    <xf numFmtId="0" fontId="8" fillId="3" borderId="7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 wrapText="1"/>
    </xf>
    <xf numFmtId="0" fontId="2" fillId="2" borderId="9" xfId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2" fillId="2" borderId="10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49" fontId="11" fillId="2" borderId="10" xfId="3" applyNumberFormat="1" applyFont="1" applyFill="1" applyBorder="1"/>
    <xf numFmtId="0" fontId="12" fillId="3" borderId="12" xfId="1" applyFont="1" applyFill="1" applyBorder="1" applyAlignment="1">
      <alignment horizontal="center"/>
    </xf>
    <xf numFmtId="0" fontId="13" fillId="4" borderId="0" xfId="0" applyFont="1" applyFill="1" applyAlignment="1">
      <alignment vertical="center"/>
    </xf>
    <xf numFmtId="0" fontId="12" fillId="3" borderId="1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10" fontId="2" fillId="2" borderId="0" xfId="1" applyNumberFormat="1" applyFont="1" applyFill="1" applyAlignment="1">
      <alignment horizontal="center"/>
    </xf>
    <xf numFmtId="9" fontId="2" fillId="2" borderId="0" xfId="1" applyNumberFormat="1" applyFont="1" applyFill="1" applyAlignment="1">
      <alignment horizontal="center"/>
    </xf>
    <xf numFmtId="0" fontId="4" fillId="2" borderId="0" xfId="1" applyFont="1" applyFill="1" applyAlignment="1">
      <alignment horizontal="left"/>
    </xf>
    <xf numFmtId="2" fontId="4" fillId="2" borderId="0" xfId="1" applyNumberFormat="1" applyFont="1" applyFill="1" applyAlignment="1">
      <alignment horizontal="right" wrapText="1"/>
    </xf>
    <xf numFmtId="0" fontId="14" fillId="2" borderId="0" xfId="1" applyFont="1" applyFill="1" applyAlignment="1">
      <alignment horizontal="center" wrapText="1"/>
    </xf>
  </cellXfs>
  <cellStyles count="4">
    <cellStyle name="Hyperlink" xfId="3" builtinId="8"/>
    <cellStyle name="Normal" xfId="0" builtinId="0"/>
    <cellStyle name="Normal_Functional Test Case v1.0" xfId="2" xr:uid="{0BB327BD-D071-4B34-9E25-F7974CBBEA51}"/>
    <cellStyle name="Normal_Template_UnitTest Case_v0.9" xfId="1" xr:uid="{83C40C7A-657C-4788-9CF1-681AE569FA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83842242489"/>
          <c:y val="3.95254245327767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A1E-4B32-A400-B0FE39614CA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A1E-4B32-A400-B0FE39614CA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A1E-4B32-A400-B0FE39614C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[1]Template!$C$17:$E$17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1E-4B32-A400-B0FE39614CA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A1E-4B32-A400-B0FE39614C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8-0A1E-4B32-A400-B0FE39614CA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A1E-4B32-A400-B0FE39614C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[1]Template!$C$16:$E$16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B-0A1E-4B32-A400-B0FE39614CA2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A1E-4B32-A400-B0FE39614C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E-0A1E-4B32-A400-B0FE39614CA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0A1E-4B32-A400-B0FE39614C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Template!#REF!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A1E-4B32-A400-B0FE39614CA2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A1E-4B32-A400-B0FE39614C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3-0A1E-4B32-A400-B0FE39614CA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4-0A1E-4B32-A400-B0FE39614C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Template!#REF!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A1E-4B32-A400-B0FE39614CA2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0A1E-4B32-A400-B0FE39614CA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0A1E-4B32-A400-B0FE39614CA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0A1E-4B32-A400-B0FE39614C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[1]Template!$C$17:$E$17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A1E-4B32-A400-B0FE39614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492658714690366"/>
          <c:y val="0.44343871549188885"/>
          <c:w val="0.21315454380083676"/>
          <c:h val="0.28747035385637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34693877548"/>
          <c:y val="3.90623047119110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56C-4FD7-A3AF-E24B7EAAB87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56C-4FD7-A3AF-E24B7EAAB87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56C-4FD7-A3AF-E24B7EAAB87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[1]Template!$F$17:$H$17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6C-4FD7-A3AF-E24B7EAAB87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56C-4FD7-A3AF-E24B7EAAB87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8-456C-4FD7-A3AF-E24B7EAAB87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56C-4FD7-A3AF-E24B7EAAB87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[1]Template!$F$16:$H$16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B-456C-4FD7-A3AF-E24B7EAAB87D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56C-4FD7-A3AF-E24B7EAAB87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E-456C-4FD7-A3AF-E24B7EAAB87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456C-4FD7-A3AF-E24B7EAAB87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Template!#REF!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56C-4FD7-A3AF-E24B7EAAB87D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56C-4FD7-A3AF-E24B7EAAB87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3-456C-4FD7-A3AF-E24B7EAAB87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4-456C-4FD7-A3AF-E24B7EAAB87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Template!#REF!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56C-4FD7-A3AF-E24B7EAAB87D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456C-4FD7-A3AF-E24B7EAAB87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456C-4FD7-A3AF-E24B7EAAB87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456C-4FD7-A3AF-E24B7EAAB87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[1]Template!$F$11:$H$11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[1]Template!$F$17:$H$17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56C-4FD7-A3AF-E24B7EAAB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728182786675473"/>
          <c:y val="0.39880483689538809"/>
          <c:w val="9.5241071056594073E-2"/>
          <c:h val="0.305145841144856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24</xdr:row>
      <xdr:rowOff>144780</xdr:rowOff>
    </xdr:from>
    <xdr:to>
      <xdr:col>2</xdr:col>
      <xdr:colOff>1594577</xdr:colOff>
      <xdr:row>38</xdr:row>
      <xdr:rowOff>113930</xdr:rowOff>
    </xdr:to>
    <xdr:graphicFrame macro="">
      <xdr:nvGraphicFramePr>
        <xdr:cNvPr id="3" name="Chart 17">
          <a:extLst>
            <a:ext uri="{FF2B5EF4-FFF2-40B4-BE49-F238E27FC236}">
              <a16:creationId xmlns:a16="http://schemas.microsoft.com/office/drawing/2014/main" id="{E2578ACE-54C3-44C1-9E0D-A015B184E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2171700</xdr:colOff>
      <xdr:row>24</xdr:row>
      <xdr:rowOff>137160</xdr:rowOff>
    </xdr:from>
    <xdr:to>
      <xdr:col>8</xdr:col>
      <xdr:colOff>36991</xdr:colOff>
      <xdr:row>38</xdr:row>
      <xdr:rowOff>136790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91C8C794-7277-440A-B213-573790732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N&#259;m%203\K&#236;%201\K&#7929;%20thu&#7853;t%20ki&#7875;m%20th&#7917;%20ph&#7847;n%20m&#7873;m\Template_test_case%20(nho%20dat%20lai%20ten%20file)%20-%20Copy.xls" TargetMode="External"/><Relationship Id="rId1" Type="http://schemas.openxmlformats.org/officeDocument/2006/relationships/externalLinkPath" Target="Template_test_case%20(nho%20dat%20lai%20ten%20file)%20-%20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leline"/>
      <sheetName val="Cover"/>
      <sheetName val="FunctionList"/>
      <sheetName val="Test Report (2)"/>
      <sheetName val="Template"/>
      <sheetName val="Checklist"/>
      <sheetName val="UT Lab 1"/>
      <sheetName val="UT Lab 2"/>
      <sheetName val="Bai mau"/>
    </sheetNames>
    <sheetDataSet>
      <sheetData sheetId="0"/>
      <sheetData sheetId="1"/>
      <sheetData sheetId="2"/>
      <sheetData sheetId="3"/>
      <sheetData sheetId="4">
        <row r="11">
          <cell r="C11" t="str">
            <v>Passed</v>
          </cell>
          <cell r="D11" t="str">
            <v>Failed</v>
          </cell>
          <cell r="E11" t="str">
            <v>Untested</v>
          </cell>
          <cell r="F11" t="str">
            <v>N</v>
          </cell>
          <cell r="G11" t="str">
            <v>A</v>
          </cell>
          <cell r="H11" t="str">
            <v>B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</sheetData>
      <sheetData sheetId="5"/>
      <sheetData sheetId="6">
        <row r="7">
          <cell r="C7">
            <v>0</v>
          </cell>
          <cell r="L7">
            <v>0</v>
          </cell>
          <cell r="M7">
            <v>0</v>
          </cell>
          <cell r="N7">
            <v>0</v>
          </cell>
        </row>
      </sheetData>
      <sheetData sheetId="7">
        <row r="7">
          <cell r="C7">
            <v>0</v>
          </cell>
          <cell r="M7">
            <v>0</v>
          </cell>
          <cell r="N7">
            <v>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70A2-1DCE-44AA-88A8-B9BE43C327E3}">
  <dimension ref="A1:I23"/>
  <sheetViews>
    <sheetView tabSelected="1" topLeftCell="A16" workbookViewId="0">
      <selection activeCell="D26" sqref="D26"/>
    </sheetView>
  </sheetViews>
  <sheetFormatPr defaultRowHeight="14.4"/>
  <cols>
    <col min="1" max="1" width="16.109375" customWidth="1"/>
    <col min="2" max="2" width="28.77734375" customWidth="1"/>
    <col min="3" max="3" width="32.44140625" customWidth="1"/>
    <col min="5" max="5" width="12.10937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24.6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>
      <c r="A3" s="3"/>
      <c r="B3" s="4"/>
      <c r="C3" s="4"/>
      <c r="D3" s="4"/>
      <c r="E3" s="4"/>
      <c r="F3" s="4"/>
      <c r="G3" s="4"/>
      <c r="H3" s="4"/>
      <c r="I3" s="5"/>
    </row>
    <row r="4" spans="1:9">
      <c r="A4" s="6" t="s">
        <v>1</v>
      </c>
      <c r="B4" s="7" t="s">
        <v>2</v>
      </c>
      <c r="C4" s="7"/>
      <c r="D4" s="8" t="s">
        <v>3</v>
      </c>
      <c r="E4" s="8"/>
      <c r="F4" s="9" t="s">
        <v>4</v>
      </c>
      <c r="G4" s="10"/>
      <c r="H4" s="10"/>
      <c r="I4" s="11"/>
    </row>
    <row r="5" spans="1:9">
      <c r="A5" s="6" t="s">
        <v>5</v>
      </c>
      <c r="B5" s="7" t="s">
        <v>6</v>
      </c>
      <c r="C5" s="7"/>
      <c r="D5" s="8" t="s">
        <v>7</v>
      </c>
      <c r="E5" s="8"/>
      <c r="F5" s="9" t="s">
        <v>8</v>
      </c>
      <c r="G5" s="12"/>
      <c r="H5" s="12"/>
      <c r="I5" s="13"/>
    </row>
    <row r="6" spans="1:9">
      <c r="A6" s="14" t="s">
        <v>9</v>
      </c>
      <c r="B6" s="7" t="s">
        <v>10</v>
      </c>
      <c r="C6" s="7"/>
      <c r="D6" s="8" t="s">
        <v>11</v>
      </c>
      <c r="E6" s="8"/>
      <c r="F6" s="15">
        <v>45880</v>
      </c>
      <c r="G6" s="16"/>
      <c r="H6" s="16"/>
      <c r="I6" s="17"/>
    </row>
    <row r="7" spans="1:9">
      <c r="A7" s="14" t="s">
        <v>12</v>
      </c>
      <c r="B7" s="18" t="s">
        <v>13</v>
      </c>
      <c r="C7" s="18"/>
      <c r="D7" s="18"/>
      <c r="E7" s="18"/>
      <c r="F7" s="18"/>
      <c r="G7" s="18"/>
      <c r="H7" s="18"/>
      <c r="I7" s="18"/>
    </row>
    <row r="8" spans="1:9">
      <c r="A8" s="19"/>
      <c r="B8" s="20"/>
      <c r="C8" s="4"/>
      <c r="D8" s="4"/>
      <c r="E8" s="4"/>
      <c r="F8" s="4"/>
      <c r="G8" s="4"/>
      <c r="H8" s="4"/>
      <c r="I8" s="5"/>
    </row>
    <row r="9" spans="1:9">
      <c r="A9" s="19"/>
      <c r="B9" s="20"/>
      <c r="C9" s="4"/>
      <c r="D9" s="4"/>
      <c r="E9" s="4"/>
      <c r="F9" s="4"/>
      <c r="G9" s="4"/>
      <c r="H9" s="4"/>
      <c r="I9" s="5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 ht="40.200000000000003">
      <c r="A11" s="21"/>
      <c r="B11" s="22" t="s">
        <v>14</v>
      </c>
      <c r="C11" s="23" t="s">
        <v>15</v>
      </c>
      <c r="D11" s="22" t="s">
        <v>16</v>
      </c>
      <c r="E11" s="24" t="s">
        <v>17</v>
      </c>
      <c r="F11" s="24" t="s">
        <v>18</v>
      </c>
      <c r="G11" s="24" t="s">
        <v>19</v>
      </c>
      <c r="H11" s="24" t="s">
        <v>20</v>
      </c>
      <c r="I11" s="25" t="s">
        <v>21</v>
      </c>
    </row>
    <row r="12" spans="1:9">
      <c r="A12" s="26">
        <v>1</v>
      </c>
      <c r="B12" s="27" t="s">
        <v>22</v>
      </c>
      <c r="C12" s="28">
        <v>1</v>
      </c>
      <c r="D12" s="28">
        <f>'[1]UT Lab 1'!C7</f>
        <v>0</v>
      </c>
      <c r="E12" s="28">
        <v>0</v>
      </c>
      <c r="F12" s="29">
        <f>'[1]UT Lab 1'!L7</f>
        <v>0</v>
      </c>
      <c r="G12" s="28">
        <f>'[1]UT Lab 1'!M7</f>
        <v>0</v>
      </c>
      <c r="H12" s="28">
        <f>'[1]UT Lab 1'!N7</f>
        <v>0</v>
      </c>
      <c r="I12" s="28">
        <v>1</v>
      </c>
    </row>
    <row r="13" spans="1:9">
      <c r="A13" s="26">
        <v>2</v>
      </c>
      <c r="B13" s="27" t="s">
        <v>23</v>
      </c>
      <c r="C13" s="28">
        <v>1</v>
      </c>
      <c r="D13" s="28">
        <f>'[1]UT Lab 2'!C7</f>
        <v>0</v>
      </c>
      <c r="E13" s="28">
        <v>0</v>
      </c>
      <c r="F13" s="29">
        <v>0</v>
      </c>
      <c r="G13" s="28">
        <f>'[1]UT Lab 2'!M7</f>
        <v>0</v>
      </c>
      <c r="H13" s="28">
        <f>'[1]UT Lab 2'!N7</f>
        <v>0</v>
      </c>
      <c r="I13" s="28">
        <v>1</v>
      </c>
    </row>
    <row r="14" spans="1:9">
      <c r="A14" s="26">
        <v>3</v>
      </c>
      <c r="B14" s="27" t="s">
        <v>24</v>
      </c>
      <c r="C14" s="28">
        <v>1</v>
      </c>
      <c r="D14" s="28">
        <v>0</v>
      </c>
      <c r="E14" s="28">
        <v>0</v>
      </c>
      <c r="F14" s="29">
        <v>0</v>
      </c>
      <c r="G14" s="28">
        <v>0</v>
      </c>
      <c r="H14" s="28">
        <v>0</v>
      </c>
      <c r="I14" s="28">
        <v>1</v>
      </c>
    </row>
    <row r="15" spans="1:9">
      <c r="A15" s="26">
        <v>4</v>
      </c>
      <c r="B15" s="27" t="s">
        <v>25</v>
      </c>
      <c r="C15" s="28">
        <v>0</v>
      </c>
      <c r="D15" s="28">
        <v>1</v>
      </c>
      <c r="E15" s="28">
        <v>0</v>
      </c>
      <c r="F15" s="29">
        <v>0</v>
      </c>
      <c r="G15" s="28">
        <v>0</v>
      </c>
      <c r="H15" s="28">
        <v>0</v>
      </c>
      <c r="I15" s="28">
        <v>1</v>
      </c>
    </row>
    <row r="16" spans="1:9">
      <c r="A16" s="26"/>
      <c r="B16" s="30"/>
      <c r="C16" s="28"/>
      <c r="D16" s="28"/>
      <c r="E16" s="28"/>
      <c r="F16" s="29"/>
      <c r="G16" s="28"/>
      <c r="H16" s="28"/>
      <c r="I16" s="28"/>
    </row>
    <row r="17" spans="1:9">
      <c r="A17" s="31"/>
      <c r="B17" s="32" t="s">
        <v>26</v>
      </c>
      <c r="C17" s="33">
        <f t="shared" ref="C17:I17" si="0">SUM(C10:C16)</f>
        <v>3</v>
      </c>
      <c r="D17" s="33">
        <f t="shared" si="0"/>
        <v>1</v>
      </c>
      <c r="E17" s="33">
        <f t="shared" si="0"/>
        <v>0</v>
      </c>
      <c r="F17" s="33">
        <f t="shared" si="0"/>
        <v>0</v>
      </c>
      <c r="G17" s="33">
        <f t="shared" si="0"/>
        <v>0</v>
      </c>
      <c r="H17" s="33">
        <f t="shared" si="0"/>
        <v>0</v>
      </c>
      <c r="I17" s="33">
        <f t="shared" si="0"/>
        <v>4</v>
      </c>
    </row>
    <row r="18" spans="1:9">
      <c r="A18" s="34"/>
      <c r="B18" s="1"/>
      <c r="C18" s="35"/>
      <c r="D18" s="36"/>
      <c r="E18" s="36"/>
      <c r="F18" s="36"/>
      <c r="G18" s="36"/>
      <c r="H18" s="36"/>
      <c r="I18" s="36"/>
    </row>
    <row r="19" spans="1:9">
      <c r="A19" s="1"/>
      <c r="B19" s="37" t="s">
        <v>27</v>
      </c>
      <c r="C19" s="1"/>
      <c r="D19" s="38">
        <f>(C17+D17)*100/(I17)</f>
        <v>100</v>
      </c>
      <c r="E19" s="1" t="s">
        <v>28</v>
      </c>
      <c r="F19" s="1"/>
      <c r="G19" s="1"/>
      <c r="H19" s="1"/>
      <c r="I19" s="39"/>
    </row>
    <row r="20" spans="1:9">
      <c r="A20" s="1"/>
      <c r="B20" s="37" t="s">
        <v>29</v>
      </c>
      <c r="C20" s="1"/>
      <c r="D20" s="38">
        <f>C17*100/(I17)</f>
        <v>75</v>
      </c>
      <c r="E20" s="1" t="s">
        <v>28</v>
      </c>
      <c r="F20" s="1"/>
      <c r="G20" s="1"/>
      <c r="H20" s="1"/>
      <c r="I20" s="39"/>
    </row>
    <row r="21" spans="1:9">
      <c r="A21" s="1"/>
      <c r="B21" s="37" t="s">
        <v>30</v>
      </c>
      <c r="C21" s="1"/>
      <c r="D21" s="38">
        <f>F17*100/I17</f>
        <v>0</v>
      </c>
      <c r="E21" s="1" t="s">
        <v>28</v>
      </c>
      <c r="F21" s="1"/>
      <c r="G21" s="1"/>
      <c r="H21" s="1"/>
      <c r="I21" s="1"/>
    </row>
    <row r="22" spans="1:9">
      <c r="A22" s="1"/>
      <c r="B22" s="37" t="s">
        <v>31</v>
      </c>
      <c r="C22" s="1"/>
      <c r="D22" s="38">
        <f>G17*100/I17</f>
        <v>0</v>
      </c>
      <c r="E22" s="1" t="s">
        <v>28</v>
      </c>
      <c r="F22" s="1"/>
      <c r="G22" s="1"/>
      <c r="H22" s="1"/>
      <c r="I22" s="1"/>
    </row>
    <row r="23" spans="1:9">
      <c r="A23" s="1"/>
      <c r="B23" s="37" t="s">
        <v>32</v>
      </c>
      <c r="C23" s="1"/>
      <c r="D23" s="38">
        <f>H17*100/I17</f>
        <v>0</v>
      </c>
      <c r="E23" s="1" t="s">
        <v>28</v>
      </c>
      <c r="F23" s="1"/>
      <c r="G23" s="1"/>
      <c r="H23" s="1"/>
      <c r="I23" s="1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Trần</dc:creator>
  <cp:lastModifiedBy>Huyền Trần</cp:lastModifiedBy>
  <dcterms:created xsi:type="dcterms:W3CDTF">2025-11-09T01:26:35Z</dcterms:created>
  <dcterms:modified xsi:type="dcterms:W3CDTF">2025-11-09T01:28:39Z</dcterms:modified>
</cp:coreProperties>
</file>